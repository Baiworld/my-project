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项目概述" sheetId="1" state="visible" r:id="rId1"/>
    <sheet xmlns:r="http://schemas.openxmlformats.org/officeDocument/2006/relationships" name="开发日报-陈小双" sheetId="2" state="visible" r:id="rId2"/>
    <sheet xmlns:r="http://schemas.openxmlformats.org/officeDocument/2006/relationships" name="开发日报-陈聪" sheetId="3" state="visible" r:id="rId3"/>
    <sheet xmlns:r="http://schemas.openxmlformats.org/officeDocument/2006/relationships" name="开发日报-覃柏豫" sheetId="4" state="visible" r:id="rId4"/>
    <sheet xmlns:r="http://schemas.openxmlformats.org/officeDocument/2006/relationships" name="开发日报-黄胜坤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H:MM:SS"/>
    <numFmt numFmtId="166" formatCode="YYYY-MM-DD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sz val="14"/>
      <scheme val="minor"/>
    </font>
    <font>
      <name val="等线"/>
      <charset val="134"/>
      <b val="1"/>
      <color theme="1"/>
      <sz val="16"/>
      <scheme val="minor"/>
    </font>
    <font>
      <name val="等线"/>
      <charset val="134"/>
      <color rgb="FFFF0000"/>
      <sz val="16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1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4" applyAlignment="1">
      <alignment vertical="center"/>
    </xf>
    <xf numFmtId="0" fontId="15" fillId="0" borderId="14" applyAlignment="1">
      <alignment vertical="center"/>
    </xf>
    <xf numFmtId="0" fontId="16" fillId="0" borderId="15" applyAlignment="1">
      <alignment vertical="center"/>
    </xf>
    <xf numFmtId="0" fontId="16" fillId="0" borderId="0" applyAlignment="1">
      <alignment vertical="center"/>
    </xf>
    <xf numFmtId="0" fontId="17" fillId="7" borderId="16" applyAlignment="1">
      <alignment vertical="center"/>
    </xf>
    <xf numFmtId="0" fontId="18" fillId="8" borderId="17" applyAlignment="1">
      <alignment vertical="center"/>
    </xf>
    <xf numFmtId="0" fontId="19" fillId="8" borderId="16" applyAlignment="1">
      <alignment vertical="center"/>
    </xf>
    <xf numFmtId="0" fontId="20" fillId="9" borderId="18" applyAlignment="1">
      <alignment vertical="center"/>
    </xf>
    <xf numFmtId="0" fontId="21" fillId="0" borderId="19" applyAlignment="1">
      <alignment vertical="center"/>
    </xf>
    <xf numFmtId="0" fontId="22" fillId="0" borderId="2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164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1" applyAlignment="1" pivotButton="0" quotePrefix="1" xfId="0">
      <alignment vertical="center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NIIT</author>
  </authors>
  <commentList>
    <comment ref="D11" authorId="0" shapeId="0">
      <text>
        <t>NIIT:
由队长评估</t>
      </text>
    </comment>
    <comment ref="E11" authorId="0" shapeId="0">
      <text>
        <t>NIIT:
由队长评估</t>
      </text>
    </comment>
    <comment ref="F11" authorId="0" shapeId="0">
      <text>
        <t>NIIT:
由队长评估</t>
      </text>
    </comment>
    <comment ref="G11" authorId="0" shapeId="0">
      <text>
        <t>NIIT:
由队长评估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14"/>
  <sheetViews>
    <sheetView topLeftCell="A6" zoomScale="85" zoomScaleNormal="85" workbookViewId="0">
      <selection activeCell="A9" sqref="A9"/>
    </sheetView>
  </sheetViews>
  <sheetFormatPr baseColWidth="8" defaultColWidth="9" defaultRowHeight="20.25"/>
  <cols>
    <col width="3" customWidth="1" style="29" min="1" max="2"/>
    <col width="18" customWidth="1" style="29" min="3" max="3"/>
    <col width="60" customWidth="1" style="29" min="4" max="7"/>
    <col width="9" customWidth="1" style="29" min="8" max="16384"/>
  </cols>
  <sheetData>
    <row r="2" ht="30" customHeight="1">
      <c r="C2" s="30" t="inlineStr">
        <is>
          <t>开发日报</t>
        </is>
      </c>
      <c r="D2" s="2" t="n"/>
      <c r="E2" s="2" t="n"/>
      <c r="F2" s="2" t="n"/>
      <c r="G2" s="3" t="n"/>
    </row>
    <row r="3">
      <c r="C3" s="31" t="inlineStr">
        <is>
          <t xml:space="preserve"> 项目名称</t>
        </is>
      </c>
      <c r="D3" s="32" t="inlineStr">
        <is>
          <t>基于Spark+AI的冷启动音乐与视频混合推荐系统</t>
        </is>
      </c>
      <c r="E3" s="2" t="n"/>
      <c r="F3" s="2" t="n"/>
      <c r="G3" s="3" t="n"/>
    </row>
    <row r="4" ht="89" customHeight="1">
      <c r="C4" s="33" t="inlineStr">
        <is>
          <t>项目描述</t>
        </is>
      </c>
      <c r="D4" s="34" t="inlineStr">
        <is>
          <t>本系统基于 Spark + Kafka + MySQL + Flask + Vue 技术栈，构建冷启动音乐与视频混合推荐平台，实现"实时分析→离线训练→混合推荐→效果展示"的完整闭环。</t>
        </is>
      </c>
      <c r="E4" s="2" t="n"/>
      <c r="F4" s="2" t="n"/>
      <c r="G4" s="3" t="n"/>
    </row>
    <row r="5" ht="334" customHeight="1">
      <c r="C5" s="33" t="inlineStr">
        <is>
          <t>1.数据生成器(Python 3.11.7):会话模式生成3类Topic数据,Flume→Kafka
2.Spark Streaming实时分析:数据校验→用户画像→内容热度→冷启动聚类→写入MySQL
3.SparkSQL离线批处理:三路分流混合推荐+DPP多样性重排,10000条推荐结果
4.Flask API后端:JWT认证+RBAC权限,8个查询API,WebSocket双通道推送
5.Vue3前端:3Tab大屏(全局指标栏+暗色模式+自动轮播),查询管理,内容详情页</t>
        </is>
      </c>
      <c r="D5" s="35" t="inlineStr">
        <is>
          <t>1.数据生成器(Python 3.11.7):会话模式生成3类Topic数据,Flume→Kafka
2.Spark Streaming实时分析:数据校验→用户画像→内容热度→冷启动聚类→写入MySQL
3.SparkSQL离线批处理:三路分流混合推荐+DPP多样性重排,10000条推荐结果
4.Flask API后端:JWT认证+RBAC权限,8个查询API,WebSocket双通道推送
5.Vue3前端:3Tab大屏(全局指标栏+暗色模式+自动轮播),查询管理,内容详情页</t>
        </is>
      </c>
      <c r="E5" s="2" t="n"/>
      <c r="F5" s="2" t="n"/>
      <c r="G5" s="3" t="n"/>
    </row>
    <row r="6" ht="200" customHeight="1">
      <c r="C6" s="33" t="inlineStr">
        <is>
          <t>消息层:Kafka 3.3.1(KRaft)+Flume 1.11
计算层:Spark 3.3.1 Streaming+SparkSQL
存储层:MySQL 5.7(11表:rt_*+offline_*+sys_*+content_metadata)
后端:Python 3.11.7+Flask 3.1+Flask-SocketIO+PyMySQL(charset=utf8mb4)
前端:Vue 3.4+Vite 5+Pinia+ECharts 5.5+Axios+Socket.IO
虚拟机:CentOS 7,Python 3.11.7+OpenSSL 1.1.1w+kafka-python 3.0.2</t>
        </is>
      </c>
      <c r="D6" s="35" t="inlineStr">
        <is>
          <t>消息层:Kafka 3.3.1(KRaft)+Flume 1.11
计算层:Spark 3.3.1 Streaming+SparkSQL
存储层:MySQL 5.7(11表:rt_*+offline_*+sys_*+content_metadata)
后端:Python 3.11.7+Flask 3.1+Flask-SocketIO+PyMySQL(charset=utf8mb4)
前端:Vue 3.4+Vite 5+Pinia+ECharts 5.5+Axios+Socket.IO
虚拟机:CentOS 7,Python 3.11.7+OpenSSL 1.1.1w+kafka-python 3.0.2</t>
        </is>
      </c>
      <c r="E6" s="2" t="n"/>
      <c r="F6" s="2" t="n"/>
      <c r="G6" s="3" t="n"/>
    </row>
    <row r="7">
      <c r="C7" s="33" t="inlineStr">
        <is>
          <t>组长</t>
        </is>
      </c>
      <c r="D7" s="36" t="inlineStr">
        <is>
          <t>覃柏豫</t>
        </is>
      </c>
      <c r="E7" s="2" t="n"/>
      <c r="F7" s="2" t="n"/>
      <c r="G7" s="3" t="n"/>
    </row>
    <row r="8" ht="140" customHeight="1">
      <c r="C8" s="33" t="inlineStr">
        <is>
          <t>团队成员</t>
        </is>
      </c>
      <c r="D8" s="36">
        <f>'开发日报-覃柏豫'!D16</f>
        <v/>
      </c>
      <c r="E8" s="36">
        <f>'开发日报-陈小双'!D16</f>
        <v/>
      </c>
      <c r="F8" s="36">
        <f>'开发日报-黄胜坤'!D16</f>
        <v/>
      </c>
      <c r="G8" s="36">
        <f>'开发日报-陈聪'!D16</f>
        <v/>
      </c>
    </row>
    <row r="9" ht="293" customHeight="1">
      <c r="C9" s="33" t="inlineStr">
        <is>
          <t>任务划分</t>
        </is>
      </c>
      <c r="D9" s="37">
        <f>'开发日报-覃柏豫'!H16</f>
        <v/>
      </c>
      <c r="E9" s="37">
        <f>'开发日报-陈小双'!H16</f>
        <v/>
      </c>
      <c r="F9" s="37">
        <f>'开发日报-黄胜坤'!H16</f>
        <v/>
      </c>
      <c r="G9" s="37">
        <f>'开发日报-陈聪'!H16</f>
        <v/>
      </c>
    </row>
    <row r="10" ht="22" customHeight="1">
      <c r="C10" s="33" t="inlineStr">
        <is>
          <t>任务完成度</t>
        </is>
      </c>
      <c r="D10" s="38">
        <f>'开发日报-覃柏豫'!N16</f>
        <v/>
      </c>
      <c r="E10" s="38">
        <f>'开发日报-陈小双'!N16</f>
        <v/>
      </c>
      <c r="F10" s="38">
        <f>'开发日报-黄胜坤'!N16</f>
        <v/>
      </c>
      <c r="G10" s="38">
        <f>'开发日报-陈聪'!N16</f>
        <v/>
      </c>
    </row>
    <row r="11">
      <c r="C11" s="33" t="inlineStr">
        <is>
          <t>任务占比</t>
        </is>
      </c>
      <c r="D11" s="38" t="n">
        <v>0.25</v>
      </c>
      <c r="E11" s="38" t="n">
        <v>0.25</v>
      </c>
      <c r="F11" s="38" t="n">
        <v>0.25</v>
      </c>
      <c r="G11" s="38" t="n">
        <v>0.25</v>
      </c>
    </row>
    <row r="12">
      <c r="C12" s="33" t="inlineStr">
        <is>
          <t>总完成度</t>
        </is>
      </c>
      <c r="D12" s="39">
        <f>D10*D11+E10*E11+F10*F11+G10*G11</f>
        <v/>
      </c>
      <c r="E12" s="2" t="n"/>
      <c r="F12" s="2" t="n"/>
      <c r="G12" s="3" t="n"/>
    </row>
    <row r="14">
      <c r="C14" s="40" t="inlineStr">
        <is>
          <t>注：该文档由组长创建在线共享文档，监督队员开发进度。</t>
        </is>
      </c>
    </row>
  </sheetData>
  <mergeCells count="8">
    <mergeCell ref="D3:G3"/>
    <mergeCell ref="D12:G12"/>
    <mergeCell ref="C2:G2"/>
    <mergeCell ref="D6:G6"/>
    <mergeCell ref="D7:G7"/>
    <mergeCell ref="C14:G14"/>
    <mergeCell ref="D5:G5"/>
    <mergeCell ref="D4:G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N23"/>
  <sheetViews>
    <sheetView tabSelected="1" topLeftCell="A21" zoomScale="85" zoomScaleNormal="85" workbookViewId="0">
      <selection activeCell="F23" sqref="F23"/>
    </sheetView>
  </sheetViews>
  <sheetFormatPr baseColWidth="8" defaultColWidth="9" defaultRowHeight="14.25"/>
  <cols>
    <col width="3" customWidth="1" min="1" max="1"/>
    <col width="2" customWidth="1" min="2" max="2"/>
    <col width="26" customWidth="1" min="3" max="3"/>
    <col width="8" customWidth="1" min="4" max="4"/>
    <col width="26" customWidth="1" min="5" max="5"/>
    <col width="16" customWidth="1" min="6" max="6"/>
    <col width="32" customWidth="1" min="7" max="7"/>
    <col width="42" customWidth="1" min="8" max="8"/>
    <col width="18" customWidth="1" min="9" max="9"/>
    <col width="32" customWidth="1" min="10" max="10"/>
    <col width="30" customWidth="1" min="11" max="11"/>
    <col width="28" customWidth="1" min="12" max="12"/>
    <col width="10" customWidth="1" min="13" max="13"/>
    <col width="12" customWidth="1" min="14" max="14"/>
  </cols>
  <sheetData>
    <row r="3" ht="23.25" customHeight="1">
      <c r="C3" s="1" t="inlineStr">
        <is>
          <t>开发日报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</row>
    <row r="4" ht="131.25" customHeight="1">
      <c r="C4" s="4" t="inlineStr">
        <is>
          <t>相关说明</t>
        </is>
      </c>
      <c r="D4" s="5" t="inlineStr">
        <is>
          <t>1. 团队成员需要将队长分配的任务模块列到下面的表格中（第1列）
2. 团队成员需要将每一个模块进行细分，评估模块占比（第2列）、预实现技术（第3列）、实现日期（第4列）、每天的实际工作情况（第5-11列）
3. 主要负责模块，由队长负责填写
4. 队员模块在总体项目中所占的比例，有队长负责评估和填写 
5. 任务占比：当前任务在该队员所负责项目中所占的比例，总和为100%
6. 预实现技术：由队员自行评估技术选型
7. 日期：是当前任务计划完成的时间安排。由队员自行评估填写。注：当前队员下的各个任务可能会同时进行，有可能不同任务都在同一天进行，所以，这种情况是允许的。例如，可能出现，任务1和任务2都在2021.12.20完成。
8. 详细编写每天的工作内容：计划、已完成、未完成、心得、问题、明日计划和当日的任务完成度
9. 当日的任务完成度：逐次递进，有小变大，完成时的完成度为100%
10. 总完成度：由公式自行计算。
注：下面是模板，各位队员请自行备份一份备用。然后根据实际情况删减自己的内容（例如任务和日期等），多的删掉，不足的补充。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>
      <c r="C5" s="8" t="n"/>
      <c r="D5" s="9" t="n"/>
      <c r="N5" s="10" t="n"/>
    </row>
    <row r="6">
      <c r="C6" s="8" t="n"/>
      <c r="D6" s="9" t="n"/>
      <c r="N6" s="10" t="n"/>
    </row>
    <row r="7">
      <c r="C7" s="8" t="n"/>
      <c r="D7" s="9" t="n"/>
      <c r="N7" s="10" t="n"/>
    </row>
    <row r="8">
      <c r="C8" s="8" t="n"/>
      <c r="D8" s="9" t="n"/>
      <c r="N8" s="10" t="n"/>
    </row>
    <row r="9">
      <c r="C9" s="8" t="n"/>
      <c r="D9" s="9" t="n"/>
      <c r="N9" s="10" t="n"/>
    </row>
    <row r="10">
      <c r="C10" s="8" t="n"/>
      <c r="D10" s="9" t="n"/>
      <c r="N10" s="10" t="n"/>
    </row>
    <row r="11">
      <c r="C11" s="8" t="n"/>
      <c r="D11" s="9" t="n"/>
      <c r="N11" s="10" t="n"/>
    </row>
    <row r="12">
      <c r="C12" s="8" t="n"/>
      <c r="D12" s="9" t="n"/>
      <c r="N12" s="10" t="n"/>
    </row>
    <row r="13">
      <c r="C13" s="8" t="n"/>
      <c r="D13" s="9" t="n"/>
      <c r="N13" s="10" t="n"/>
    </row>
    <row r="14">
      <c r="C14" s="8" t="n"/>
      <c r="D14" s="9" t="n"/>
      <c r="N14" s="10" t="n"/>
    </row>
    <row r="15">
      <c r="C15" s="11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</row>
    <row r="16" ht="160" customHeight="1">
      <c r="C16" s="4" t="inlineStr">
        <is>
          <t>队员姓名</t>
        </is>
      </c>
      <c r="D16" s="15" t="inlineStr">
        <is>
          <t>陈小双</t>
        </is>
      </c>
      <c r="E16" s="4" t="inlineStr">
        <is>
          <t>学号</t>
        </is>
      </c>
      <c r="F16" s="41" t="inlineStr">
        <is>
          <t>231603020522</t>
        </is>
      </c>
      <c r="G16" s="4" t="inlineStr">
        <is>
          <t>主要负责模块</t>
        </is>
      </c>
      <c r="H16" s="16" t="inlineStr">
        <is>
          <t>1. MySQL DDL（11张表+5类索引+存储过程+定时事件）
2. Flask认证/权限（JWT+bcrypt+RBAC）
3. 5个查询API（分页+筛选+排序）
4. CSV/Excel导出+WebSocket推送+全局异常处理</t>
        </is>
      </c>
      <c r="I16" s="2" t="n"/>
      <c r="J16" s="2" t="n"/>
      <c r="K16" s="2" t="n"/>
      <c r="L16" s="3" t="n"/>
      <c r="M16" s="4" t="inlineStr">
        <is>
          <t>队员总完成度</t>
        </is>
      </c>
      <c r="N16" s="17">
        <f>MAX(M18:M22)</f>
        <v/>
      </c>
    </row>
    <row r="17" ht="30" customHeight="1">
      <c r="C17" s="18" t="inlineStr">
        <is>
          <t>任务模块</t>
        </is>
      </c>
      <c r="D17" s="18" t="inlineStr">
        <is>
          <t>任务占比</t>
        </is>
      </c>
      <c r="E17" s="18" t="inlineStr">
        <is>
          <t>任务（预）实现技术</t>
        </is>
      </c>
      <c r="F17" s="18" t="inlineStr">
        <is>
          <t>日期</t>
        </is>
      </c>
      <c r="G17" s="18" t="inlineStr">
        <is>
          <t>计划完成</t>
        </is>
      </c>
      <c r="H17" s="18" t="inlineStr">
        <is>
          <t>已完成</t>
        </is>
      </c>
      <c r="I17" s="18" t="inlineStr">
        <is>
          <t>未完成</t>
        </is>
      </c>
      <c r="J17" s="18" t="inlineStr">
        <is>
          <t>开发心得</t>
        </is>
      </c>
      <c r="K17" s="18" t="inlineStr">
        <is>
          <t>遇到的问题</t>
        </is>
      </c>
      <c r="L17" s="18" t="inlineStr">
        <is>
          <t>明日计划</t>
        </is>
      </c>
      <c r="M17" s="18" t="inlineStr">
        <is>
          <t>当日任务完成度</t>
        </is>
      </c>
      <c r="N17" s="18" t="inlineStr">
        <is>
          <t>任务完成度</t>
        </is>
      </c>
    </row>
    <row r="18" ht="200" customHeight="1">
      <c r="C18" s="19" t="inlineStr">
        <is>
          <t>MySQL数据库设计</t>
        </is>
      </c>
      <c r="D18" s="20" t="n">
        <v>0.15</v>
      </c>
      <c r="E18" s="21" t="inlineStr">
        <is>
          <t>MySQL 5.7/InnoDB/utf8mb4,11张表+索引+存储过程+定时清理事件</t>
        </is>
      </c>
      <c r="F18" s="45" t="n">
        <v>46169</v>
      </c>
      <c r="G18" s="21" t="inlineStr">
        <is>
          <t>DDL建表+索引+存储过程</t>
        </is>
      </c>
      <c r="H18" s="21" t="inlineStr">
        <is>
          <t>11张表DDL完成,5个索引优化查询,存储过程+定时事件就绪</t>
        </is>
      </c>
      <c r="I18" s="21" t="inlineStr">
        <is>
          <t>完成</t>
        </is>
      </c>
      <c r="J18" s="21" t="inlineStr">
        <is>
          <t>DATETIME(3)语法兼容问题</t>
        </is>
      </c>
      <c r="K18" s="21" t="inlineStr">
        <is>
          <t>手动调整为MySQL 5.7兼容语法</t>
        </is>
      </c>
      <c r="L18" s="21" t="inlineStr">
        <is>
          <t>Flask认证模块</t>
        </is>
      </c>
      <c r="M18" s="20" t="n">
        <v>1</v>
      </c>
      <c r="N18" s="20" t="n"/>
    </row>
    <row r="19" ht="200" customHeight="1">
      <c r="C19" s="23" t="inlineStr">
        <is>
          <t>Flask认证与权限</t>
        </is>
      </c>
      <c r="D19" s="24" t="n">
        <v>0.2</v>
      </c>
      <c r="E19" s="25" t="inlineStr">
        <is>
          <t>Flask-JWT-Extended/bcrypt cost=12/RBAC装饰器/内存JWT blocklist</t>
        </is>
      </c>
      <c r="F19" s="46" t="n">
        <v>46175</v>
      </c>
      <c r="G19" s="25" t="inlineStr">
        <is>
          <t>注册/登录/登出/刷新4接口+RBAC</t>
        </is>
      </c>
      <c r="H19" s="25" t="inlineStr">
        <is>
          <t>注册(bcrypt哈希+密码策略)/登录(JWT HS256签名+Refresh Token 7天)/登出(内存撤销)/刷新4接口完成,RBAC装饰器就绪</t>
        </is>
      </c>
      <c r="I19" s="25" t="inlineStr">
        <is>
          <t>完成</t>
        </is>
      </c>
      <c r="J19" s="25" t="inlineStr">
        <is>
          <t>JWT无状态设计,Refresh Token需正确传入</t>
        </is>
      </c>
      <c r="K19" s="25" t="inlineStr">
        <is>
          <t>查阅官方文档,修复refresh端点传refresh_token</t>
        </is>
      </c>
      <c r="L19" s="25" t="inlineStr">
        <is>
          <t>查询API开发</t>
        </is>
      </c>
      <c r="M19" s="24" t="n">
        <v>1</v>
      </c>
      <c r="N19" s="24" t="n"/>
    </row>
    <row r="20" ht="200" customHeight="1">
      <c r="C20" s="19" t="inlineStr">
        <is>
          <t>5个查询API</t>
        </is>
      </c>
      <c r="D20" s="20" t="n">
        <v>0.3</v>
      </c>
      <c r="E20" s="21" t="inlineStr">
        <is>
          <t>Flask Blueprint/SQLAlchemy ORM/分页+筛选/统一JSON响应</t>
        </is>
      </c>
      <c r="F20" s="45" t="n">
        <v>46175</v>
      </c>
      <c r="G20" s="21" t="inlineStr">
        <is>
          <t>推荐列表/指标/内容/用户画像/冷启动5个API</t>
        </is>
      </c>
      <c r="H20" s="21" t="inlineStr">
        <is>
          <t>5个API全部完成分页+筛选+排序,日期用&gt;= AND &lt;利用索引,内容API增加推荐理由+JOIN字段</t>
        </is>
      </c>
      <c r="I20" s="21" t="inlineStr">
        <is>
          <t>完成</t>
        </is>
      </c>
      <c r="J20" s="21" t="inlineStr">
        <is>
          <t>子查询性能优化</t>
        </is>
      </c>
      <c r="K20" s="21" t="inlineStr">
        <is>
          <t>单查询多分组聚合,避免N+1</t>
        </is>
      </c>
      <c r="L20" s="21" t="inlineStr">
        <is>
          <t>导出+WebSocket</t>
        </is>
      </c>
      <c r="M20" s="20" t="n">
        <v>1</v>
      </c>
      <c r="N20" s="20" t="n"/>
    </row>
    <row r="21" ht="200" customHeight="1">
      <c r="C21" s="23" t="inlineStr">
        <is>
          <t>导出+WebSocket推送</t>
        </is>
      </c>
      <c r="D21" s="24" t="n">
        <v>0.2</v>
      </c>
      <c r="E21" s="25" t="inlineStr">
        <is>
          <t>Flask send_file/openpyxl/Flask-SocketIO</t>
        </is>
      </c>
      <c r="F21" s="46" t="n">
        <v>46181</v>
      </c>
      <c r="G21" s="25" t="inlineStr">
        <is>
          <t>CSV/Excel导出,DashboardPusher 5s快照,EventLogPusher 2s事件</t>
        </is>
      </c>
      <c r="H21" s="25" t="inlineStr">
        <is>
          <t>CSV(UTF-8 BOM)+Excel导出完成,DashboardPusher 22字段快照(指标/趋势/聚类/策略/地区/活跃用户),EventLogPusher含内容标题+艺人名</t>
        </is>
      </c>
      <c r="I21" s="25" t="inlineStr">
        <is>
          <t>完成</t>
        </is>
      </c>
      <c r="J21" s="25" t="inlineStr">
        <is>
          <t>WebSocket全量推送效率</t>
        </is>
      </c>
      <c r="K21" s="25" t="inlineStr">
        <is>
          <t>后续可改为增量推送</t>
        </is>
      </c>
      <c r="L21" s="25" t="inlineStr">
        <is>
          <t>前后端联调</t>
        </is>
      </c>
      <c r="M21" s="24" t="n">
        <v>1</v>
      </c>
      <c r="N21" s="24" t="n"/>
    </row>
    <row r="22" ht="200" customHeight="1">
      <c r="C22" s="19" t="inlineStr">
        <is>
          <t>V1.5后端增强</t>
        </is>
      </c>
      <c r="D22" s="20" t="n">
        <v>0.15</v>
      </c>
      <c r="E22" s="21" t="inlineStr">
        <is>
          <t>22字段快照/事件标题缓存/推荐理由API/charset修复/JWT修复</t>
        </is>
      </c>
      <c r="F22" s="45" t="n">
        <v>46191</v>
      </c>
      <c r="G22" s="21" t="inlineStr">
        <is>
          <t>快照扩展+事件丰富+内容API增强+字符集修复</t>
        </is>
      </c>
      <c r="H22" s="21" t="inlineStr">
        <is>
          <t>DashboardPusher扩展22字段(artist/region/active_users/compare回溯),EventLogPusher增加内容标题+艺人缓存,/api/content/&lt;id&gt; LEFT JOIN推荐表,MySQL charset=utf8mb4,JWT refresh修复</t>
        </is>
      </c>
      <c r="I22" s="21" t="inlineStr">
        <is>
          <t>完成</t>
        </is>
      </c>
      <c r="J22" s="21" t="inlineStr">
        <is>
          <t>device_type列不存在,offline_recommendations初始为空</t>
        </is>
      </c>
      <c r="K22" s="21" t="inlineStr">
        <is>
          <t>改为region列,Spark Offline落地推荐数据</t>
        </is>
      </c>
      <c r="L22" s="21" t="inlineStr">
        <is>
          <t>—</t>
        </is>
      </c>
      <c r="M22" s="20" t="n">
        <v>1</v>
      </c>
      <c r="N22" s="20" t="n"/>
    </row>
    <row r="23" ht="200" customHeight="1">
      <c r="C23" s="16" t="n"/>
      <c r="D23" s="27" t="n"/>
      <c r="E23" s="16" t="n"/>
      <c r="F23" s="44" t="n"/>
      <c r="G23" s="16" t="n"/>
      <c r="H23" s="16" t="n"/>
      <c r="I23" s="16" t="n"/>
      <c r="J23" s="16" t="n"/>
      <c r="K23" s="16" t="n"/>
      <c r="L23" s="16" t="n"/>
      <c r="M23" s="27" t="n"/>
      <c r="N23" s="27" t="n"/>
    </row>
    <row r="24" ht="57" customHeight="1"/>
    <row r="25" ht="42.75" customHeight="1"/>
    <row r="26" ht="242.25" customHeight="1"/>
  </sheetData>
  <mergeCells count="4">
    <mergeCell ref="C3:N3"/>
    <mergeCell ref="H16:L16"/>
    <mergeCell ref="C4:C15"/>
    <mergeCell ref="D4:N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N23"/>
  <sheetViews>
    <sheetView topLeftCell="A21" workbookViewId="0">
      <selection activeCell="F23" sqref="F23"/>
    </sheetView>
  </sheetViews>
  <sheetFormatPr baseColWidth="8" defaultColWidth="9" defaultRowHeight="14.25"/>
  <cols>
    <col width="3" customWidth="1" min="1" max="1"/>
    <col width="2" customWidth="1" min="2" max="2"/>
    <col width="26" customWidth="1" min="3" max="3"/>
    <col width="8" customWidth="1" min="4" max="4"/>
    <col width="26" customWidth="1" min="5" max="5"/>
    <col width="16" customWidth="1" min="6" max="6"/>
    <col width="32" customWidth="1" min="7" max="7"/>
    <col width="42" customWidth="1" min="8" max="8"/>
    <col width="18" customWidth="1" min="9" max="9"/>
    <col width="32" customWidth="1" min="10" max="10"/>
    <col width="30" customWidth="1" min="11" max="11"/>
    <col width="28" customWidth="1" min="12" max="12"/>
    <col width="10" customWidth="1" min="13" max="13"/>
    <col width="12" customWidth="1" min="14" max="14"/>
  </cols>
  <sheetData>
    <row r="3" ht="23.25" customHeight="1">
      <c r="C3" s="1" t="inlineStr">
        <is>
          <t>开发日报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</row>
    <row r="4" ht="131.25" customHeight="1">
      <c r="C4" s="4" t="inlineStr">
        <is>
          <t>相关说明</t>
        </is>
      </c>
      <c r="D4" s="5" t="inlineStr">
        <is>
          <t>1. 团队成员需要将队长分配的任务模块列到下面的表格中（第1列）
2. 团队成员需要将每一个模块进行细分，评估模块占比（第2列）、预实现技术（第3列）、实现日期（第4列）、每天的实际工作情况（第5-11列）
3. 主要负责模块，由队长负责填写
4. 队员模块在总体项目中所占的比例，有队长负责评估和填写 
5. 任务占比：当前任务在该队员所负责项目中所占的比例，总和为100%
6. 预实现技术：由队员自行评估技术选型
7. 日期：是当前任务计划完成的时间安排。由队员自行评估填写。注：当前队员下的各个任务可能会同时进行，有可能不同任务都在同一天进行，所以，这种情况是允许的。例如，可能出现，任务1和任务2都在2021.12.20完成。
8. 详细编写每天的工作内容：计划、已完成、未完成、心得、问题、明日计划和当日的任务完成度
9. 当日的任务完成度：逐次递进，有小变大，完成时的完成度为100%
10. 总完成度：由公式自行计算。
注：下面是模板，各位队员请自行备份一份备用。然后根据实际情况删减自己的内容（例如任务和日期等），多的删掉，不足的补充。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>
      <c r="C5" s="8" t="n"/>
      <c r="D5" s="9" t="n"/>
      <c r="N5" s="10" t="n"/>
    </row>
    <row r="6">
      <c r="C6" s="8" t="n"/>
      <c r="D6" s="9" t="n"/>
      <c r="N6" s="10" t="n"/>
    </row>
    <row r="7">
      <c r="C7" s="8" t="n"/>
      <c r="D7" s="9" t="n"/>
      <c r="N7" s="10" t="n"/>
    </row>
    <row r="8">
      <c r="C8" s="8" t="n"/>
      <c r="D8" s="9" t="n"/>
      <c r="N8" s="10" t="n"/>
    </row>
    <row r="9">
      <c r="C9" s="8" t="n"/>
      <c r="D9" s="9" t="n"/>
      <c r="N9" s="10" t="n"/>
    </row>
    <row r="10">
      <c r="C10" s="8" t="n"/>
      <c r="D10" s="9" t="n"/>
      <c r="N10" s="10" t="n"/>
    </row>
    <row r="11">
      <c r="C11" s="8" t="n"/>
      <c r="D11" s="9" t="n"/>
      <c r="N11" s="10" t="n"/>
    </row>
    <row r="12">
      <c r="C12" s="8" t="n"/>
      <c r="D12" s="9" t="n"/>
      <c r="N12" s="10" t="n"/>
    </row>
    <row r="13">
      <c r="C13" s="8" t="n"/>
      <c r="D13" s="9" t="n"/>
      <c r="N13" s="10" t="n"/>
    </row>
    <row r="14">
      <c r="C14" s="8" t="n"/>
      <c r="D14" s="9" t="n"/>
      <c r="N14" s="10" t="n"/>
    </row>
    <row r="15">
      <c r="C15" s="11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</row>
    <row r="16" ht="160" customHeight="1">
      <c r="C16" s="4" t="inlineStr">
        <is>
          <t>队员姓名</t>
        </is>
      </c>
      <c r="D16" s="15" t="inlineStr">
        <is>
          <t>陈聪</t>
        </is>
      </c>
      <c r="E16" s="4" t="inlineStr">
        <is>
          <t>学号</t>
        </is>
      </c>
      <c r="F16" s="15" t="inlineStr">
        <is>
          <t>231603020512</t>
        </is>
      </c>
      <c r="G16" s="4" t="inlineStr">
        <is>
          <t>主要负责模块</t>
        </is>
      </c>
      <c r="H16" s="16" t="inlineStr">
        <is>
          <t>1. Vue 3脚手架（Vite+Router+Pinia+Axios封装）
2. 登录/注册页（动画背景+玻璃态卡片+密码强度指示）
3. 数据大屏DashboardView（4Tab/9图表+WebSocket实时更新）
4. 查询管理页（3Tab）+系统管理页（用户CRUD+角色+审计日志）</t>
        </is>
      </c>
      <c r="I16" s="2" t="n"/>
      <c r="J16" s="2" t="n"/>
      <c r="K16" s="2" t="n"/>
      <c r="L16" s="3" t="n"/>
      <c r="M16" s="4" t="inlineStr">
        <is>
          <t>队员总完成度</t>
        </is>
      </c>
      <c r="N16" s="17">
        <f>MAX(M18:M22)</f>
        <v/>
      </c>
    </row>
    <row r="17" ht="30" customHeight="1">
      <c r="C17" s="18" t="inlineStr">
        <is>
          <t>任务模块</t>
        </is>
      </c>
      <c r="D17" s="18" t="inlineStr">
        <is>
          <t>任务占比</t>
        </is>
      </c>
      <c r="E17" s="18" t="inlineStr">
        <is>
          <t>任务（预）实现技术</t>
        </is>
      </c>
      <c r="F17" s="18" t="inlineStr">
        <is>
          <t>日期</t>
        </is>
      </c>
      <c r="G17" s="18" t="inlineStr">
        <is>
          <t>计划完成</t>
        </is>
      </c>
      <c r="H17" s="18" t="inlineStr">
        <is>
          <t>已完成</t>
        </is>
      </c>
      <c r="I17" s="18" t="inlineStr">
        <is>
          <t>未完成</t>
        </is>
      </c>
      <c r="J17" s="18" t="inlineStr">
        <is>
          <t>开发心得</t>
        </is>
      </c>
      <c r="K17" s="18" t="inlineStr">
        <is>
          <t>遇到的问题</t>
        </is>
      </c>
      <c r="L17" s="18" t="inlineStr">
        <is>
          <t>明日计划</t>
        </is>
      </c>
      <c r="M17" s="18" t="inlineStr">
        <is>
          <t>当日任务完成度</t>
        </is>
      </c>
      <c r="N17" s="18" t="inlineStr">
        <is>
          <t>任务完成度</t>
        </is>
      </c>
    </row>
    <row r="18" ht="200" customHeight="1">
      <c r="C18" s="19" t="inlineStr">
        <is>
          <t>Vue3项目脚手架</t>
        </is>
      </c>
      <c r="D18" s="20" t="n">
        <v>0.15</v>
      </c>
      <c r="E18" s="21" t="inlineStr">
        <is>
          <t>Vite 5/Vue Router 4/Pinia/Axios/ECharts 5,暖色系CSS变量系统(7色)</t>
        </is>
      </c>
      <c r="F18" s="45" t="n">
        <v>46169</v>
      </c>
      <c r="G18" s="21" t="inlineStr">
        <is>
          <t>项目初始化+路由+状态管理+设计系统</t>
        </is>
      </c>
      <c r="H18" s="21" t="inlineStr">
        <is>
          <t>Vite初始化完成,Router beforeEach守卫(JWT+RBAC),Pinia AuthStore+DashboardStore,暖色系CSS变量系统7色完成</t>
        </is>
      </c>
      <c r="I18" s="21" t="inlineStr">
        <is>
          <t>完成</t>
        </is>
      </c>
      <c r="J18" s="21" t="inlineStr">
        <is>
          <t>Vite CJS API废弃警告</t>
        </is>
      </c>
      <c r="K18" s="21" t="inlineStr">
        <is>
          <t>暂不影响功能</t>
        </is>
      </c>
      <c r="L18" s="21" t="inlineStr">
        <is>
          <t>登录注册页面</t>
        </is>
      </c>
      <c r="M18" s="20" t="n">
        <v>1</v>
      </c>
      <c r="N18" s="20" t="n"/>
    </row>
    <row r="19" ht="200" customHeight="1">
      <c r="C19" s="23" t="inlineStr">
        <is>
          <t>登录注册页面</t>
        </is>
      </c>
      <c r="D19" s="24" t="n">
        <v>0.2</v>
      </c>
      <c r="E19" s="25" t="inlineStr">
        <is>
          <t>Vue3 Composition API/CSS动画/SVG图标/密码强度计/表单校验</t>
        </is>
      </c>
      <c r="F19" s="46" t="n">
        <v>46175</v>
      </c>
      <c r="G19" s="25" t="inlineStr">
        <is>
          <t>登录页(渐变背景+浮动粒子+玻璃卡片)+注册页(密码强度计+实时校验)</t>
        </is>
      </c>
      <c r="H19" s="25" t="inlineStr">
        <is>
          <t>登录页(动画背景+记住我+登录提交)完成,注册页(4段密码强度+确认密码+前端校验)完成,Token自动刷新401拦截器完成</t>
        </is>
      </c>
      <c r="I19" s="25" t="inlineStr">
        <is>
          <t>完成</t>
        </is>
      </c>
      <c r="J19" s="25" t="inlineStr">
        <is>
          <t>input type切换时数据丢失</t>
        </is>
      </c>
      <c r="K19" s="25" t="inlineStr">
        <is>
          <t>v-if/v-else加key解决</t>
        </is>
      </c>
      <c r="L19" s="25" t="inlineStr">
        <is>
          <t>数据大屏Dashboard</t>
        </is>
      </c>
      <c r="M19" s="24" t="n">
        <v>1</v>
      </c>
      <c r="N19" s="24" t="n"/>
    </row>
    <row r="20" ht="200" customHeight="1">
      <c r="C20" s="19" t="inlineStr">
        <is>
          <t>数据大屏Dashboard</t>
        </is>
      </c>
      <c r="D20" s="20" t="n">
        <v>0.25</v>
      </c>
      <c r="E20" s="21" t="inlineStr">
        <is>
          <t>ECharts 5/WebSocket/Pinia/3Tab+全局指标栏/暗色模式/自动轮播</t>
        </is>
      </c>
      <c r="F20" s="45" t="n">
        <v>46181</v>
      </c>
      <c r="G20" s="21" t="inlineStr">
        <is>
          <t>3Tab大屏(实时概览/效果分析/冷启动)+全局指标栏+10+图表</t>
        </is>
      </c>
      <c r="H20" s="21" t="inlineStr">
        <is>
          <t>3Tab大屏完成(热力图+行为日志+推荐卡片Top7+热度Top10+CTR/曝光趋势+占比+策略分布+冷启vs存量对比+转化漏斗+活跃用户Top10+地区分布),全局指标栏(动画数字+异常检测+时效指示器),暗色模式,自动轮播12s</t>
        </is>
      </c>
      <c r="I20" s="21" t="inlineStr">
        <is>
          <t>完成</t>
        </is>
      </c>
      <c r="J20" s="21" t="inlineStr">
        <is>
          <t>ECharts setOption增量更新避免闪烁</t>
        </is>
      </c>
      <c r="K20" s="21" t="inlineStr">
        <is>
          <t>使用setOption而非dispose+init</t>
        </is>
      </c>
      <c r="L20" s="21" t="inlineStr">
        <is>
          <t>查询管理+系统管理</t>
        </is>
      </c>
      <c r="M20" s="20" t="n">
        <v>1</v>
      </c>
      <c r="N20" s="20" t="n"/>
    </row>
    <row r="21" ht="200" customHeight="1">
      <c r="C21" s="23" t="inlineStr">
        <is>
          <t>查询管理+系统管理</t>
        </is>
      </c>
      <c r="D21" s="24" t="n">
        <v>0.25</v>
      </c>
      <c r="E21" s="25" t="inlineStr">
        <is>
          <t>Vue3组件/分页+筛选+排序/Axios API/CSV+Excel导出</t>
        </is>
      </c>
      <c r="F21" s="46" t="n">
        <v>46189</v>
      </c>
      <c r="G21" s="25" t="inlineStr">
        <is>
          <t>QueryView 3Tab+AdminView 3Tab</t>
        </is>
      </c>
      <c r="H21" s="25" t="inlineStr">
        <is>
          <t>QueryView 3Tab(推荐列表+内容管理+冷启动分析)完成分页+筛选+排序+导出+详情抽屉,AdminView(用户CRUD+系统设置+审计日志)完成,确认弹窗+Toast通知通用化</t>
        </is>
      </c>
      <c r="I21" s="25" t="inlineStr">
        <is>
          <t>完成</t>
        </is>
      </c>
      <c r="J21" s="25" t="inlineStr">
        <is>
          <t>部分代码重复</t>
        </is>
      </c>
      <c r="K21" s="25" t="inlineStr">
        <is>
          <t>抽取Paginator/DatePicker通用组件,减少30%代码</t>
        </is>
      </c>
      <c r="L21" s="25" t="inlineStr">
        <is>
          <t>V1.5前端重构</t>
        </is>
      </c>
      <c r="M21" s="24" t="n">
        <v>1</v>
      </c>
      <c r="N21" s="24" t="n"/>
    </row>
    <row r="22" ht="200" customHeight="1">
      <c r="C22" s="19" t="inlineStr">
        <is>
          <t>V1.5前端重构</t>
        </is>
      </c>
      <c r="D22" s="20" t="n">
        <v>0.15</v>
      </c>
      <c r="E22" s="21" t="inlineStr">
        <is>
          <t>3Tab重构/6通用组件/暗色模式/内容详情页/活跃排行/地区分布</t>
        </is>
      </c>
      <c r="F22" s="45" t="n">
        <v>46191</v>
      </c>
      <c r="G22" s="21" t="inlineStr">
        <is>
          <t>3Tab+全局栏+通用组件+暗色+内容页+排行</t>
        </is>
      </c>
      <c r="H22" s="21" t="inlineStr">
        <is>
          <t>4Tab合并为3Tab去重,新增Toast/Confirm/AnimatedNumber/Skeleton/ContentCardGrid 6个通用组件,暗色模式CSS变量+localStorage,/content/:id内容详情页(元数据+推荐理由+热度),活跃用户Top10+地区分布环形图,行为日志用户ID可点击,推荐卡片Top7</t>
        </is>
      </c>
      <c r="I22" s="21" t="inlineStr">
        <is>
          <t>完成</t>
        </is>
      </c>
      <c r="J22" s="21" t="inlineStr">
        <is>
          <t>Sparkline折线过密</t>
        </is>
      </c>
      <c r="K22" s="21" t="inlineStr">
        <is>
          <t>移除Sparkline,保留趋势百分比</t>
        </is>
      </c>
      <c r="L22" s="21" t="inlineStr">
        <is>
          <t>—</t>
        </is>
      </c>
      <c r="M22" s="20" t="n">
        <v>1</v>
      </c>
      <c r="N22" s="20" t="n"/>
    </row>
    <row r="23" ht="200" customHeight="1">
      <c r="C23" s="16" t="n"/>
      <c r="D23" s="27" t="n"/>
      <c r="E23" s="16" t="n"/>
      <c r="F23" s="44" t="n"/>
      <c r="G23" s="16" t="n"/>
      <c r="H23" s="16" t="n"/>
      <c r="I23" s="16" t="n"/>
      <c r="J23" s="16" t="n"/>
      <c r="K23" s="16" t="n"/>
      <c r="L23" s="16" t="n"/>
      <c r="M23" s="27" t="n"/>
      <c r="N23" s="27" t="n"/>
    </row>
  </sheetData>
  <mergeCells count="4">
    <mergeCell ref="C3:N3"/>
    <mergeCell ref="H16:L16"/>
    <mergeCell ref="C4:C15"/>
    <mergeCell ref="D4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N23"/>
  <sheetViews>
    <sheetView topLeftCell="A16" workbookViewId="0">
      <selection activeCell="F23" sqref="F23"/>
    </sheetView>
  </sheetViews>
  <sheetFormatPr baseColWidth="8" defaultColWidth="9" defaultRowHeight="14.25"/>
  <cols>
    <col width="3" customWidth="1" min="1" max="1"/>
    <col width="2" customWidth="1" min="2" max="2"/>
    <col width="26" customWidth="1" min="3" max="3"/>
    <col width="8" customWidth="1" min="4" max="4"/>
    <col width="26" customWidth="1" min="5" max="5"/>
    <col width="16" customWidth="1" min="6" max="6"/>
    <col width="32" customWidth="1" min="7" max="7"/>
    <col width="42" customWidth="1" min="8" max="8"/>
    <col width="18" customWidth="1" min="9" max="9"/>
    <col width="32" customWidth="1" min="10" max="10"/>
    <col width="30" customWidth="1" min="11" max="11"/>
    <col width="28" customWidth="1" min="12" max="12"/>
    <col width="10" customWidth="1" min="13" max="13"/>
    <col width="12" customWidth="1" min="14" max="14"/>
  </cols>
  <sheetData>
    <row r="3" ht="23.25" customHeight="1">
      <c r="C3" s="1" t="inlineStr">
        <is>
          <t>开发日报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</row>
    <row r="4" ht="131.25" customHeight="1">
      <c r="C4" s="4" t="inlineStr">
        <is>
          <t>相关说明</t>
        </is>
      </c>
      <c r="D4" s="5" t="inlineStr">
        <is>
          <t>1. 团队成员需要将队长分配的任务模块列到下面的表格中（第1列）
2. 团队成员需要将每一个模块进行细分，评估模块占比（第2列）、预实现技术（第3列）、实现日期（第4列）、每天的实际工作情况（第5-11列）
3. 主要负责模块，由队长负责填写
4. 队员模块在总体项目中所占的比例，有队长负责评估和填写 
5. 任务占比：当前任务在该队员所负责项目中所占的比例，总和为100%
6. 预实现技术：由队员自行评估技术选型
7. 日期：是当前任务计划完成的时间安排。由队员自行评估填写。注：当前队员下的各个任务可能会同时进行，有可能不同任务都在同一天进行，所以，这种情况是允许的。例如，可能出现，任务1和任务2都在2021.12.20完成。
8. 详细编写每天的工作内容：计划、已完成、未完成、心得、问题、明日计划和当日的任务完成度
9. 当日的任务完成度：逐次递进，有小变大，完成时的完成度为100%
10. 总完成度：由公式自行计算。
注：下面是模板，各位队员请自行备份一份备用。然后根据实际情况删减自己的内容（例如任务和日期等），多的删掉，不足的补充。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>
      <c r="C5" s="8" t="n"/>
      <c r="D5" s="9" t="n"/>
      <c r="N5" s="10" t="n"/>
    </row>
    <row r="6">
      <c r="C6" s="8" t="n"/>
      <c r="D6" s="9" t="n"/>
      <c r="N6" s="10" t="n"/>
    </row>
    <row r="7">
      <c r="C7" s="8" t="n"/>
      <c r="D7" s="9" t="n"/>
      <c r="N7" s="10" t="n"/>
    </row>
    <row r="8">
      <c r="C8" s="8" t="n"/>
      <c r="D8" s="9" t="n"/>
      <c r="N8" s="10" t="n"/>
    </row>
    <row r="9">
      <c r="C9" s="8" t="n"/>
      <c r="D9" s="9" t="n"/>
      <c r="N9" s="10" t="n"/>
    </row>
    <row r="10">
      <c r="C10" s="8" t="n"/>
      <c r="D10" s="9" t="n"/>
      <c r="N10" s="10" t="n"/>
    </row>
    <row r="11">
      <c r="C11" s="8" t="n"/>
      <c r="D11" s="9" t="n"/>
      <c r="N11" s="10" t="n"/>
    </row>
    <row r="12">
      <c r="C12" s="8" t="n"/>
      <c r="D12" s="9" t="n"/>
      <c r="N12" s="10" t="n"/>
    </row>
    <row r="13">
      <c r="C13" s="8" t="n"/>
      <c r="D13" s="9" t="n"/>
      <c r="N13" s="10" t="n"/>
    </row>
    <row r="14">
      <c r="C14" s="8" t="n"/>
      <c r="D14" s="9" t="n"/>
      <c r="N14" s="10" t="n"/>
    </row>
    <row r="15">
      <c r="C15" s="11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</row>
    <row r="16" ht="160" customHeight="1">
      <c r="C16" s="4" t="inlineStr">
        <is>
          <t>队员姓名</t>
        </is>
      </c>
      <c r="D16" s="15" t="inlineStr">
        <is>
          <t>覃柏豫</t>
        </is>
      </c>
      <c r="E16" s="4" t="inlineStr">
        <is>
          <t>学号</t>
        </is>
      </c>
      <c r="F16" s="41" t="inlineStr">
        <is>
          <t>231603020523</t>
        </is>
      </c>
      <c r="G16" s="4" t="inlineStr">
        <is>
          <t>主要负责模块</t>
        </is>
      </c>
      <c r="H16" s="16" t="inlineStr">
        <is>
          <t>1. 数据生成器与Kafka/Flume管道
2. Spark Streaming实时分析（4子模块）
3. SparkSQL离线分析（5子模块）
4. 推荐算法（K-Means + ALS + DPP）</t>
        </is>
      </c>
      <c r="I16" s="2" t="n"/>
      <c r="J16" s="2" t="n"/>
      <c r="K16" s="2" t="n"/>
      <c r="L16" s="3" t="n"/>
      <c r="M16" s="4" t="inlineStr">
        <is>
          <t>队员总完成度</t>
        </is>
      </c>
      <c r="N16" s="17">
        <f>MAX(M18:M21)</f>
        <v/>
      </c>
    </row>
    <row r="17" ht="30" customHeight="1">
      <c r="C17" s="18" t="inlineStr">
        <is>
          <t>任务模块</t>
        </is>
      </c>
      <c r="D17" s="18" t="inlineStr">
        <is>
          <t>任务占比</t>
        </is>
      </c>
      <c r="E17" s="18" t="inlineStr">
        <is>
          <t>任务（预）实现技术</t>
        </is>
      </c>
      <c r="F17" s="18" t="inlineStr">
        <is>
          <t>日期</t>
        </is>
      </c>
      <c r="G17" s="18" t="inlineStr">
        <is>
          <t>计划完成</t>
        </is>
      </c>
      <c r="H17" s="18" t="inlineStr">
        <is>
          <t>已完成</t>
        </is>
      </c>
      <c r="I17" s="18" t="inlineStr">
        <is>
          <t>未完成</t>
        </is>
      </c>
      <c r="J17" s="18" t="inlineStr">
        <is>
          <t>开发心得</t>
        </is>
      </c>
      <c r="K17" s="18" t="inlineStr">
        <is>
          <t>遇到的问题</t>
        </is>
      </c>
      <c r="L17" s="18" t="inlineStr">
        <is>
          <t>明日计划</t>
        </is>
      </c>
      <c r="M17" s="18" t="inlineStr">
        <is>
          <t>当日任务完成度</t>
        </is>
      </c>
      <c r="N17" s="18" t="inlineStr">
        <is>
          <t>任务完成度</t>
        </is>
      </c>
    </row>
    <row r="18" ht="200" customHeight="1">
      <c r="C18" s="19" t="inlineStr">
        <is>
          <t>数据生成器+Kafka+Flume管道</t>
        </is>
      </c>
      <c r="D18" s="20" t="n">
        <v>0.2</v>
      </c>
      <c r="E18" s="21" t="inlineStr">
        <is>
          <t>Python 3.11/Kafka 3.3 KRaft/Flume 1.11/Shell脚本</t>
        </is>
      </c>
      <c r="F18" s="45" t="n">
        <v>46169</v>
      </c>
      <c r="G18" s="21" t="inlineStr">
        <is>
          <t>3类Topic数据生成+会话模式+管道脚本</t>
        </is>
      </c>
      <c r="H18" s="21" t="inlineStr">
        <is>
          <t>Python数据生成器完成(批量模式+会话模式),Kafka KRaft 3个Topic创建(3+2+2分区),Flume配置文件3条Pipeline(tail source→Kafka sink),start_all_v2.sh一键启停脚本,VM端Python 3.11.7升级+OpenSSL 1.1.1w编译</t>
        </is>
      </c>
      <c r="I18" s="21" t="inlineStr">
        <is>
          <t>完成</t>
        </is>
      </c>
      <c r="J18" s="21" t="inlineStr">
        <is>
          <t>Python 3.6与3.11语法差异,CentOS 7 EOL yum源不可用</t>
        </is>
      </c>
      <c r="K18" s="21" t="inlineStr">
        <is>
          <t>升级至Python 3.11.7+f-string,yum源指向vault.centos.org,去掉PGO编译参数</t>
        </is>
      </c>
      <c r="L18" s="21" t="inlineStr">
        <is>
          <t>Spark Streaming开发</t>
        </is>
      </c>
      <c r="M18" s="20" t="n">
        <v>1</v>
      </c>
      <c r="N18" s="20" t="n"/>
    </row>
    <row r="19" ht="200" customHeight="1">
      <c r="C19" s="23" t="inlineStr">
        <is>
          <t>Spark Streaming实时分析</t>
        </is>
      </c>
      <c r="D19" s="24" t="n">
        <v>0.3</v>
      </c>
      <c r="E19" s="25" t="inlineStr">
        <is>
          <t>Spark 3.3.1 Streaming/Scala 2.13/local[2]/JDBC批量写入+事务+重试</t>
        </is>
      </c>
      <c r="F19" s="46" t="n">
        <v>46175</v>
      </c>
      <c r="G19" s="25" t="inlineStr">
        <is>
          <t>数据校验→用户画像→内容热度→冷启动聚类→批量写入MySQL</t>
        </is>
      </c>
      <c r="H19" s="25" t="inlineStr">
        <is>
          <t>DataValidator(JSON解析+字段校验+去重+死信路由)完成,UserProfileAgg(5min滑动窗口+region提取)完成,ContentHotStats(1min窗口+加权热度分)完成,ColdStartCluster(K-Means K=8)完成,MySQLBatchWriter(事务+3次重试)完成</t>
        </is>
      </c>
      <c r="I19" s="25" t="inlineStr">
        <is>
          <t>完成</t>
        </is>
      </c>
      <c r="J19" s="25" t="inlineStr">
        <is>
          <t>窗口聚合重复问题,JDBC写入死锁风险</t>
        </is>
      </c>
      <c r="K19" s="25" t="inlineStr">
        <is>
          <t>checkpoint+updateStateByKey解决,local[2]并行度控制</t>
        </is>
      </c>
      <c r="L19" s="25" t="inlineStr">
        <is>
          <t>离线批处理开发</t>
        </is>
      </c>
      <c r="M19" s="24" t="n">
        <v>1</v>
      </c>
      <c r="N19" s="24" t="n"/>
    </row>
    <row r="20" ht="200" customHeight="1">
      <c r="C20" s="19" t="inlineStr">
        <is>
          <t>SparkSQL离线批处理+推荐算法</t>
        </is>
      </c>
      <c r="D20" s="20" t="n">
        <v>0.3</v>
      </c>
      <c r="E20" s="21" t="inlineStr">
        <is>
          <t>SparkSQL/MLlib/K-Means/DPP/三路分流混合推荐</t>
        </is>
      </c>
      <c r="F20" s="45" t="n">
        <v>46181</v>
      </c>
      <c r="G20" s="21" t="inlineStr">
        <is>
          <t>用户画像→内容热度统计→冷启动聚类→混合推荐(三路分流+DPP)→指标计算</t>
        </is>
      </c>
      <c r="H20" s="21" t="inlineStr">
        <is>
          <t>UserPortraitBuilder(128维向量+TF-IDF标签+生命周期)完成,ContentHotStats离线统计完成,ColdStartCluster(K=8)完成,HybridRecommender(冷启动聚类/内容推荐/ALS融合+DPP θ=0.7)完成,offline_recommendations 10000条落地(coldstart 5125+established 4875),MetricsCalculator(CTR/CVR/覆盖率/多样性)完成</t>
        </is>
      </c>
      <c r="I20" s="21" t="inlineStr">
        <is>
          <t>完成</t>
        </is>
      </c>
      <c r="J20" s="21" t="inlineStr">
        <is>
          <t>ALS模型待真实数据训练</t>
        </is>
      </c>
      <c r="K20" s="21" t="inlineStr">
        <is>
          <t>当前使用隐式反馈合成数据,逻辑完整可正常运行</t>
        </is>
      </c>
      <c r="L20" s="21" t="inlineStr">
        <is>
          <t>联调测试</t>
        </is>
      </c>
      <c r="M20" s="20" t="n">
        <v>1</v>
      </c>
      <c r="N20" s="20" t="n"/>
    </row>
    <row r="21" ht="200" customHeight="1">
      <c r="C21" s="23" t="inlineStr">
        <is>
          <t>全链路联调+数据端优化</t>
        </is>
      </c>
      <c r="D21" s="24" t="n">
        <v>0.2</v>
      </c>
      <c r="E21" s="25" t="inlineStr">
        <is>
          <t>端到端测试/数据流验证/VM环境配置/会话升级</t>
        </is>
      </c>
      <c r="F21" s="46" t="n">
        <v>46189</v>
      </c>
      <c r="G21" s="25" t="inlineStr">
        <is>
          <t>全链路联调+性能测试+数据验证</t>
        </is>
      </c>
      <c r="H21" s="25" t="inlineStr">
        <is>
          <t>实时链路(Kafka→Streaming→MySQL)全通,离线链路(SparkSQL→推荐落地)全通,前端API+WebSocket全通,数据生成器升级会话模式(9种行为序列,7种事件类型均衡),VM Python 3.11.7环境+脚本就绪</t>
        </is>
      </c>
      <c r="I21" s="25" t="inlineStr">
        <is>
          <t>完成</t>
        </is>
      </c>
      <c r="J21" s="25" t="inlineStr">
        <is>
          <t>device_type列不存在于rt_user_profile</t>
        </is>
      </c>
      <c r="K21" s="25" t="inlineStr">
        <is>
          <t>改用region列做地区分布</t>
        </is>
      </c>
      <c r="L21" s="25" t="inlineStr">
        <is>
          <t>—</t>
        </is>
      </c>
      <c r="M21" s="24" t="n">
        <v>1</v>
      </c>
      <c r="N21" s="24" t="n"/>
    </row>
    <row r="22" ht="200" customHeight="1">
      <c r="C22" s="16" t="n"/>
      <c r="D22" s="27" t="n"/>
      <c r="E22" s="16" t="n"/>
      <c r="F22" s="44" t="n"/>
      <c r="G22" s="16" t="n"/>
      <c r="H22" s="16" t="n"/>
      <c r="I22" s="16" t="n"/>
      <c r="J22" s="16" t="n"/>
      <c r="K22" s="16" t="n"/>
      <c r="L22" s="16" t="n"/>
      <c r="M22" s="27" t="n"/>
      <c r="N22" s="27" t="n"/>
    </row>
    <row r="23" ht="200" customHeight="1">
      <c r="C23" s="16" t="n"/>
      <c r="D23" s="27" t="n"/>
      <c r="E23" s="16" t="n"/>
      <c r="F23" s="44" t="n"/>
      <c r="G23" s="16" t="n"/>
      <c r="H23" s="16" t="n"/>
      <c r="I23" s="16" t="n"/>
      <c r="J23" s="16" t="n"/>
      <c r="K23" s="16" t="n"/>
      <c r="L23" s="16" t="n"/>
      <c r="M23" s="27" t="n"/>
      <c r="N23" s="27" t="n"/>
    </row>
  </sheetData>
  <mergeCells count="4">
    <mergeCell ref="C3:N3"/>
    <mergeCell ref="H16:L16"/>
    <mergeCell ref="C4:C15"/>
    <mergeCell ref="D4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N23"/>
  <sheetViews>
    <sheetView topLeftCell="A21" workbookViewId="0">
      <selection activeCell="F23" sqref="F23"/>
    </sheetView>
  </sheetViews>
  <sheetFormatPr baseColWidth="8" defaultColWidth="9" defaultRowHeight="14.25"/>
  <cols>
    <col width="3" customWidth="1" min="1" max="1"/>
    <col width="2" customWidth="1" min="2" max="2"/>
    <col width="26" customWidth="1" min="3" max="3"/>
    <col width="8" customWidth="1" min="4" max="4"/>
    <col width="26" customWidth="1" min="5" max="5"/>
    <col width="16" customWidth="1" min="6" max="6"/>
    <col width="32" customWidth="1" min="7" max="7"/>
    <col width="42" customWidth="1" min="8" max="8"/>
    <col width="18" customWidth="1" min="9" max="9"/>
    <col width="32" customWidth="1" min="10" max="10"/>
    <col width="30" customWidth="1" min="11" max="11"/>
    <col width="28" customWidth="1" min="12" max="12"/>
    <col width="10" customWidth="1" min="13" max="13"/>
    <col width="12" customWidth="1" min="14" max="14"/>
  </cols>
  <sheetData>
    <row r="3" ht="23.25" customHeight="1">
      <c r="C3" s="1" t="inlineStr">
        <is>
          <t>开发日报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</row>
    <row r="4" ht="131.25" customHeight="1">
      <c r="C4" s="4" t="inlineStr">
        <is>
          <t>相关说明</t>
        </is>
      </c>
      <c r="D4" s="5" t="inlineStr">
        <is>
          <t>1. 团队成员需要将队长分配的任务模块列到下面的表格中（第1列）
2. 团队成员需要将每一个模块进行细分，评估模块占比（第2列）、预实现技术（第3列）、实现日期（第4列）、每天的实际工作情况（第5-11列）
3. 主要负责模块，由队长负责填写
4. 队员模块在总体项目中所占的比例，有队长负责评估和填写 
5. 任务占比：当前任务在该队员所负责项目中所占的比例，总和为100%
6. 预实现技术：由队员自行评估技术选型
7. 日期：是当前任务计划完成的时间安排。由队员自行评估填写。注：当前队员下的各个任务可能会同时进行，有可能不同任务都在同一天进行，所以，这种情况是允许的。例如，可能出现，任务1和任务2都在2021.12.20完成。
8. 详细编写每天的工作内容：计划、已完成、未完成、心得、问题、明日计划和当日的任务完成度
9. 当日的任务完成度：逐次递进，有小变大，完成时的完成度为100%
10. 总完成度：由公式自行计算。
注：下面是模板，各位队员请自行备份一份备用。然后根据实际情况删减自己的内容（例如任务和日期等），多的删掉，不足的补充。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>
      <c r="C5" s="8" t="n"/>
      <c r="D5" s="9" t="n"/>
      <c r="N5" s="10" t="n"/>
    </row>
    <row r="6">
      <c r="C6" s="8" t="n"/>
      <c r="D6" s="9" t="n"/>
      <c r="N6" s="10" t="n"/>
    </row>
    <row r="7">
      <c r="C7" s="8" t="n"/>
      <c r="D7" s="9" t="n"/>
      <c r="N7" s="10" t="n"/>
    </row>
    <row r="8">
      <c r="C8" s="8" t="n"/>
      <c r="D8" s="9" t="n"/>
      <c r="N8" s="10" t="n"/>
    </row>
    <row r="9">
      <c r="C9" s="8" t="n"/>
      <c r="D9" s="9" t="n"/>
      <c r="N9" s="10" t="n"/>
    </row>
    <row r="10">
      <c r="C10" s="8" t="n"/>
      <c r="D10" s="9" t="n"/>
      <c r="N10" s="10" t="n"/>
    </row>
    <row r="11">
      <c r="C11" s="8" t="n"/>
      <c r="D11" s="9" t="n"/>
      <c r="N11" s="10" t="n"/>
    </row>
    <row r="12">
      <c r="C12" s="8" t="n"/>
      <c r="D12" s="9" t="n"/>
      <c r="N12" s="10" t="n"/>
    </row>
    <row r="13">
      <c r="C13" s="8" t="n"/>
      <c r="D13" s="9" t="n"/>
      <c r="N13" s="10" t="n"/>
    </row>
    <row r="14">
      <c r="C14" s="8" t="n"/>
      <c r="D14" s="9" t="n"/>
      <c r="N14" s="10" t="n"/>
    </row>
    <row r="15">
      <c r="C15" s="11" t="n"/>
      <c r="D15" s="12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</row>
    <row r="16" ht="160" customHeight="1">
      <c r="C16" s="4" t="inlineStr">
        <is>
          <t>队员姓名</t>
        </is>
      </c>
      <c r="D16" s="15" t="inlineStr">
        <is>
          <t>黄胜坤</t>
        </is>
      </c>
      <c r="E16" s="4" t="inlineStr">
        <is>
          <t>学号</t>
        </is>
      </c>
      <c r="F16" s="41" t="inlineStr">
        <is>
          <t>231603020524</t>
        </is>
      </c>
      <c r="G16" s="4" t="inlineStr">
        <is>
          <t>主要负责模块</t>
        </is>
      </c>
      <c r="H16" s="16" t="inlineStr">
        <is>
          <t>1. 环境搭建（MySQL/Kafka/Spark/Python/Node.js）
2. 项目文档撰写（BRD+C4+详细设计+分工方案）
3. 全链路集成测试（Kafka→Spark→MySQL→Flask→Vue）
4. 辅助开发（审计日志+参数校验+通用组件）+答辩准备</t>
        </is>
      </c>
      <c r="I16" s="2" t="n"/>
      <c r="J16" s="2" t="n"/>
      <c r="K16" s="2" t="n"/>
      <c r="L16" s="3" t="n"/>
      <c r="M16" s="4" t="inlineStr">
        <is>
          <t>队员总完成度</t>
        </is>
      </c>
      <c r="N16" s="17">
        <f>MAX(M18:M22)</f>
        <v/>
      </c>
    </row>
    <row r="17" ht="30" customHeight="1">
      <c r="C17" s="18" t="inlineStr">
        <is>
          <t>任务模块</t>
        </is>
      </c>
      <c r="D17" s="18" t="inlineStr">
        <is>
          <t>任务占比</t>
        </is>
      </c>
      <c r="E17" s="18" t="inlineStr">
        <is>
          <t>任务（预）实现技术</t>
        </is>
      </c>
      <c r="F17" s="18" t="inlineStr">
        <is>
          <t>日期</t>
        </is>
      </c>
      <c r="G17" s="18" t="inlineStr">
        <is>
          <t>计划完成</t>
        </is>
      </c>
      <c r="H17" s="18" t="inlineStr">
        <is>
          <t>已完成</t>
        </is>
      </c>
      <c r="I17" s="18" t="inlineStr">
        <is>
          <t>未完成</t>
        </is>
      </c>
      <c r="J17" s="18" t="inlineStr">
        <is>
          <t>开发心得</t>
        </is>
      </c>
      <c r="K17" s="18" t="inlineStr">
        <is>
          <t>遇到的问题</t>
        </is>
      </c>
      <c r="L17" s="18" t="inlineStr">
        <is>
          <t>明日计划</t>
        </is>
      </c>
      <c r="M17" s="18" t="inlineStr">
        <is>
          <t>当日任务完成度</t>
        </is>
      </c>
      <c r="N17" s="18" t="inlineStr">
        <is>
          <t>任务完成度</t>
        </is>
      </c>
    </row>
    <row r="18" ht="200" customHeight="1">
      <c r="C18" s="19" t="inlineStr">
        <is>
          <t>开发环境搭建+安装指南</t>
        </is>
      </c>
      <c r="D18" s="20" t="n">
        <v>0.25</v>
      </c>
      <c r="E18" s="21" t="inlineStr">
        <is>
          <t>MySQL 5.7/Kafka 3.3 KRaft/Spark 3.3.1/Python 3.11/Vue 3.4/Node.js</t>
        </is>
      </c>
      <c r="F18" s="45" t="n">
        <v>46169</v>
      </c>
      <c r="G18" s="21" t="inlineStr">
        <is>
          <t>安装配置文档+环境验证</t>
        </is>
      </c>
      <c r="H18" s="21" t="inlineStr">
        <is>
          <t>MySQL安装配置完成(11张表初始化+索引创建),Kafka KRaft模式运行(3个Topic创建),Spark local[2]验证通过,Python+Node环境就绪,安装指南文档完成</t>
        </is>
      </c>
      <c r="I18" s="21" t="inlineStr">
        <is>
          <t>完成</t>
        </is>
      </c>
      <c r="J18" s="21" t="inlineStr">
        <is>
          <t>各组件版本差异</t>
        </is>
      </c>
      <c r="K18" s="21" t="inlineStr">
        <is>
          <t>统一版本,编写兼容配置</t>
        </is>
      </c>
      <c r="L18" s="21" t="inlineStr">
        <is>
          <t>项目文档撰写</t>
        </is>
      </c>
      <c r="M18" s="20" t="n">
        <v>1</v>
      </c>
      <c r="N18" s="20" t="n"/>
    </row>
    <row r="19" ht="200" customHeight="1">
      <c r="C19" s="23" t="inlineStr">
        <is>
          <t>项目文档撰写</t>
        </is>
      </c>
      <c r="D19" s="24" t="n">
        <v>0.25</v>
      </c>
      <c r="E19" s="25" t="inlineStr">
        <is>
          <t>Markdown/Word/Mermaid/Excel</t>
        </is>
      </c>
      <c r="F19" s="46" t="n">
        <v>46175</v>
      </c>
      <c r="G19" s="25" t="inlineStr">
        <is>
          <t>业务需求+详细设计+C4架构+团队分工</t>
        </is>
      </c>
      <c r="H19" s="25" t="inlineStr">
        <is>
          <t>业务需求文档(5章,功能需求+非功能需求+架构图)完成,详细设计说明书(9章,完整API+DB+组件设计)完成,C4架构4层Mermaid图(系统上下文/容器/组件/代码)完成,团队分工方案(4人,模块独立+关键路径双人备份)完成</t>
        </is>
      </c>
      <c r="I19" s="25" t="inlineStr">
        <is>
          <t>完成</t>
        </is>
      </c>
      <c r="J19" s="25" t="inlineStr">
        <is>
          <t>文档版本管理</t>
        </is>
      </c>
      <c r="K19" s="25" t="inlineStr">
        <is>
          <t>建立V1.0-V1.5版本变更记录</t>
        </is>
      </c>
      <c r="L19" s="25" t="inlineStr">
        <is>
          <t>全链路联调测试</t>
        </is>
      </c>
      <c r="M19" s="24" t="n">
        <v>1</v>
      </c>
      <c r="N19" s="24" t="n"/>
    </row>
    <row r="20" ht="200" customHeight="1">
      <c r="C20" s="19" t="inlineStr">
        <is>
          <t>全链路联调测试</t>
        </is>
      </c>
      <c r="D20" s="20" t="n">
        <v>0.2</v>
      </c>
      <c r="E20" s="21" t="inlineStr">
        <is>
          <t>端到端测试/数据流验证/接口测试/前端功能测试</t>
        </is>
      </c>
      <c r="F20" s="45" t="n">
        <v>46181</v>
      </c>
      <c r="G20" s="21" t="inlineStr">
        <is>
          <t>Kafka→Spark→MySQL→Flask→Vue全链路验证</t>
        </is>
      </c>
      <c r="H20" s="21" t="inlineStr">
        <is>
          <t>实时链路(Kafka→Streaming→MySQL rt_*表)验证通过,离线链路(SparkSQL→MySQL offline_*表)验证通过,前端API+WebSocket联通验证通过,Login/Register/Dashboard/Query/Admin页面功能测试通过</t>
        </is>
      </c>
      <c r="I20" s="21" t="inlineStr">
        <is>
          <t>完成</t>
        </is>
      </c>
      <c r="J20" s="21" t="inlineStr">
        <is>
          <t>WebSocket连接稳定性</t>
        </is>
      </c>
      <c r="K20" s="21" t="inlineStr">
        <is>
          <t>polling模式兼容Flask开发服务器</t>
        </is>
      </c>
      <c r="L20" s="21" t="inlineStr">
        <is>
          <t>系统管理与美工</t>
        </is>
      </c>
      <c r="M20" s="20" t="n">
        <v>1</v>
      </c>
      <c r="N20" s="20" t="n"/>
    </row>
    <row r="21" ht="200" customHeight="1">
      <c r="C21" s="23" t="inlineStr">
        <is>
          <t>系统管理与审计</t>
        </is>
      </c>
      <c r="D21" s="24" t="n">
        <v>0.15</v>
      </c>
      <c r="E21" s="25" t="inlineStr">
        <is>
          <t>sys_audit_log/validators参数校验/通用组件/PowerPoint</t>
        </is>
      </c>
      <c r="F21" s="46" t="n">
        <v>46189</v>
      </c>
      <c r="G21" s="25" t="inlineStr">
        <is>
          <t>审计日志+参数校验+通用组件+答辩PPT</t>
        </is>
      </c>
      <c r="H21" s="25" t="inlineStr">
        <is>
          <t>sys_audit_log表+write_audit()工具(flush非commit)完成,validators.py参数校验工具完成,Paginator/DatePicker通用组件完成,答辩PPT完成</t>
        </is>
      </c>
      <c r="I21" s="25" t="inlineStr">
        <is>
          <t>完成</t>
        </is>
      </c>
      <c r="J21" s="25" t="inlineStr">
        <is>
          <t>审计日志写入时机</t>
        </is>
      </c>
      <c r="K21" s="25" t="inlineStr">
        <is>
          <t>flush非commit避免事务污染</t>
        </is>
      </c>
      <c r="L21" s="25" t="inlineStr">
        <is>
          <t>V1.5文档运维</t>
        </is>
      </c>
      <c r="M21" s="24" t="n">
        <v>1</v>
      </c>
      <c r="N21" s="24" t="n"/>
    </row>
    <row r="22" ht="200" customHeight="1">
      <c r="C22" s="19" t="inlineStr">
        <is>
          <t>V1.5文档与运维</t>
        </is>
      </c>
      <c r="D22" s="20" t="n">
        <v>0.15</v>
      </c>
      <c r="E22" s="21" t="inlineStr">
        <is>
          <t>文档更新/脚本清理/VM运维/开发日报</t>
        </is>
      </c>
      <c r="F22" s="45" t="n">
        <v>46191</v>
      </c>
      <c r="G22" s="21" t="inlineStr">
        <is>
          <t>5份文档更新V1.5+脚本清理+日报更新</t>
        </is>
      </c>
      <c r="H22" s="21" t="inlineStr">
        <is>
          <t>CLAUDE.md/业务需求/详细设计/C4架构/团队分工5份文档更新至V1.5,scripts目录清理(34→3个运维脚本),VM管道启动脚本就绪,开发日报Excel更新</t>
        </is>
      </c>
      <c r="I22" s="21" t="inlineStr">
        <is>
          <t>完成</t>
        </is>
      </c>
      <c r="J22" s="21" t="inlineStr">
        <is>
          <t>文档需保持与代码同步</t>
        </is>
      </c>
      <c r="K22" s="21" t="inlineStr">
        <is>
          <t>每次大版本更新后同步文档</t>
        </is>
      </c>
      <c r="L22" s="21" t="inlineStr">
        <is>
          <t>—</t>
        </is>
      </c>
      <c r="M22" s="20" t="n">
        <v>1</v>
      </c>
      <c r="N22" s="20" t="n"/>
    </row>
    <row r="23" ht="200" customHeight="1">
      <c r="C23" s="16" t="n"/>
      <c r="D23" s="27" t="n"/>
      <c r="E23" s="16" t="n"/>
      <c r="F23" s="44" t="n"/>
      <c r="G23" s="16" t="n"/>
      <c r="H23" s="16" t="n"/>
      <c r="I23" s="16" t="n"/>
      <c r="J23" s="16" t="n"/>
      <c r="K23" s="16" t="n"/>
      <c r="L23" s="16" t="n"/>
      <c r="M23" s="27" t="n"/>
      <c r="N23" s="27" t="n"/>
    </row>
  </sheetData>
  <mergeCells count="4">
    <mergeCell ref="C3:N3"/>
    <mergeCell ref="H16:L16"/>
    <mergeCell ref="C4:C15"/>
    <mergeCell ref="D4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NIIT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2026-06-19T12:03:21Z</dcterms:modified>
  <cp:lastModifiedBy>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8FB8B419537B45CE93C43B9DDB0687B2_12</vt:lpwstr>
  </property>
  <property name="CalculationRule" fmtid="{D5CDD505-2E9C-101B-9397-08002B2CF9AE}" pid="4">
    <vt:i4 xmlns:vt="http://schemas.openxmlformats.org/officeDocument/2006/docPropsVTypes">0</vt:i4>
  </property>
</Properties>
</file>